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E8979090-3ECC-1941-A3BF-0DAF24382BA4}" xr6:coauthVersionLast="47" xr6:coauthVersionMax="47" xr10:uidLastSave="{00000000-0000-0000-0000-000000000000}"/>
  <bookViews>
    <workbookView xWindow="4340" yWindow="500" windowWidth="24460" windowHeight="15880" xr2:uid="{6850815A-3104-1E48-9AAC-9B251222D29C}"/>
  </bookViews>
  <sheets>
    <sheet name="Hoja1" sheetId="1" r:id="rId1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6" i="1" l="1"/>
  <c r="E6" i="1" s="1"/>
  <c r="C6" i="1"/>
  <c r="D5" i="1"/>
  <c r="C5" i="1"/>
  <c r="D4" i="1"/>
  <c r="E4" i="1" s="1"/>
  <c r="C4" i="1"/>
  <c r="D3" i="1"/>
  <c r="E3" i="1" s="1"/>
  <c r="C3" i="1"/>
  <c r="D2" i="1"/>
  <c r="E2" i="1" s="1"/>
  <c r="C2" i="1"/>
  <c r="E5" i="1" l="1"/>
</calcChain>
</file>

<file path=xl/sharedStrings.xml><?xml version="1.0" encoding="utf-8"?>
<sst xmlns="http://purl.oclc.org/ooxml/spreadsheetml/main" count="10" uniqueCount="10">
  <si>
    <t>n reynolds</t>
  </si>
  <si>
    <t>viscosidad</t>
  </si>
  <si>
    <t>p1</t>
  </si>
  <si>
    <t>p2</t>
  </si>
  <si>
    <t>caida de presion</t>
  </si>
  <si>
    <t>bernouilli</t>
  </si>
  <si>
    <t>10^-4</t>
  </si>
  <si>
    <t>10^-3</t>
  </si>
  <si>
    <t>10^-2</t>
  </si>
  <si>
    <t>10^-1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</si>
</sst>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0">
    <cellStyle name="Accent" xfId="2" xr:uid="{65E0ECBC-C9ED-E642-AE0E-186469C70727}"/>
    <cellStyle name="Accent 1" xfId="3" xr:uid="{F1B8E03F-6D5B-7245-892B-FA3AEE5A3AA0}"/>
    <cellStyle name="Accent 2" xfId="4" xr:uid="{499659E6-F12C-A145-916D-02FAF085539B}"/>
    <cellStyle name="Accent 3" xfId="5" xr:uid="{44C11197-D0FF-4542-A0C4-A513438D7405}"/>
    <cellStyle name="Bad" xfId="6" xr:uid="{028D9EF9-3220-8A43-880B-83775CE8987A}"/>
    <cellStyle name="Default" xfId="7" xr:uid="{AD614C30-EEEC-BE4F-BCB9-13CB2684C0A4}"/>
    <cellStyle name="Error" xfId="8" xr:uid="{095C743A-8877-D34E-984B-A9A6A02D5EF3}"/>
    <cellStyle name="Footnote" xfId="9" xr:uid="{B8104A1F-4B70-9C49-904F-8FAD3E8AB4FF}"/>
    <cellStyle name="Good" xfId="10" xr:uid="{DB816F5B-937C-DF4F-878C-D595D25A83A1}"/>
    <cellStyle name="Heading" xfId="11" xr:uid="{F2A7EC92-603B-CC42-BE4A-385613388AA6}"/>
    <cellStyle name="Heading 1" xfId="12" xr:uid="{2D91A5DB-3B85-BC40-9D3A-B3F488805F7D}"/>
    <cellStyle name="Heading 2" xfId="13" xr:uid="{27CDC309-DD53-1D49-BEAF-274541918964}"/>
    <cellStyle name="Hyperlink" xfId="14" xr:uid="{D426F1F5-011E-FC4D-B7BF-FE13DA934EEA}"/>
    <cellStyle name="Neutral" xfId="1" builtinId="28" customBuiltin="1"/>
    <cellStyle name="Normal" xfId="0" builtinId="0" customBuiltin="1"/>
    <cellStyle name="Note" xfId="15" xr:uid="{0073235E-DB0D-2047-9CCE-A2509A0FF63E}"/>
    <cellStyle name="Result" xfId="16" xr:uid="{C0D17A21-1153-E64D-9ECF-B3441FBBF6DE}"/>
    <cellStyle name="Status" xfId="17" xr:uid="{3AD91100-9959-C747-B19E-7339200BC52A}"/>
    <cellStyle name="Text" xfId="18" xr:uid="{C1D9B69B-B22D-4340-91A1-F4AEFD35D437}"/>
    <cellStyle name="Warning" xfId="19" xr:uid="{19B492B4-2CED-A343-A68D-74DC2B2845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_tradnl"/>
              <a:t>Δp vs Reynolds (CFD)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Hoja1!$E$1:$E$1</c:f>
              <c:strCache>
                <c:ptCount val="1"/>
                <c:pt idx="0">
                  <c:v>caida de presion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Hoja1!$A$2:$A$6</c:f>
              <c:numCache>
                <c:formatCode>General</c:formatCode>
                <c:ptCount val="5"/>
                <c:pt idx="0">
                  <c:v>10000</c:v>
                </c:pt>
                <c:pt idx="1">
                  <c:v>1000</c:v>
                </c:pt>
                <c:pt idx="2">
                  <c:v>100</c:v>
                </c:pt>
                <c:pt idx="3">
                  <c:v>10</c:v>
                </c:pt>
                <c:pt idx="4">
                  <c:v>1</c:v>
                </c:pt>
              </c:numCache>
            </c:numRef>
          </c:xVal>
          <c:yVal>
            <c:numRef>
              <c:f>Hoja1!$E$2:$E$6</c:f>
              <c:numCache>
                <c:formatCode>General</c:formatCode>
                <c:ptCount val="5"/>
                <c:pt idx="0">
                  <c:v>-7.4310573099999999</c:v>
                </c:pt>
                <c:pt idx="1">
                  <c:v>-7.4313085640000001</c:v>
                </c:pt>
                <c:pt idx="2">
                  <c:v>-7.4416628899999999</c:v>
                </c:pt>
                <c:pt idx="3">
                  <c:v>-7.7004922000000002</c:v>
                </c:pt>
                <c:pt idx="4">
                  <c:v>-10.728260000000001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C-B346-9AC4-066FA4F50230}"/>
            </c:ext>
          </c:extLst>
        </c:ser>
        <c:ser>
          <c:idx val="1"/>
          <c:order val="1"/>
          <c:tx>
            <c:strRef>
              <c:f>Hoja1!$F$1:$F$1</c:f>
              <c:strCache>
                <c:ptCount val="1"/>
                <c:pt idx="0">
                  <c:v>bernouilli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Hoja1!$A$2:$A$6</c:f>
              <c:numCache>
                <c:formatCode>General</c:formatCode>
                <c:ptCount val="5"/>
                <c:pt idx="0">
                  <c:v>10000</c:v>
                </c:pt>
                <c:pt idx="1">
                  <c:v>1000</c:v>
                </c:pt>
                <c:pt idx="2">
                  <c:v>100</c:v>
                </c:pt>
                <c:pt idx="3">
                  <c:v>10</c:v>
                </c:pt>
                <c:pt idx="4">
                  <c:v>1</c:v>
                </c:pt>
              </c:numCache>
            </c:numRef>
          </c:xVal>
          <c:yVal>
            <c:numRef>
              <c:f>Hoja1!$F$2:$F$6</c:f>
              <c:numCache>
                <c:formatCode>General</c:formatCode>
                <c:ptCount val="5"/>
                <c:pt idx="0">
                  <c:v>-7.5</c:v>
                </c:pt>
                <c:pt idx="1">
                  <c:v>-7.5</c:v>
                </c:pt>
                <c:pt idx="2">
                  <c:v>-7.5</c:v>
                </c:pt>
                <c:pt idx="3">
                  <c:v>-7.5</c:v>
                </c:pt>
                <c:pt idx="4">
                  <c:v>-7.5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C-B346-9AC4-066FA4F50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476992"/>
        <c:axId val="572474832"/>
      </c:scatterChart>
      <c:valAx>
        <c:axId val="572474832"/>
        <c:scaling>
          <c:orientation val="minMax"/>
          <c:max val="-7"/>
          <c:min val="-10.5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 b="0"/>
                </a:pPr>
                <a:r>
                  <a:rPr lang="el-GR" sz="900"/>
                  <a:t>Δ</a:t>
                </a:r>
                <a:r>
                  <a:rPr lang="es-ES" sz="900"/>
                  <a:t>p (CFD)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572476992"/>
        <c:crossesAt val="0"/>
        <c:crossBetween val="midCat"/>
      </c:valAx>
      <c:valAx>
        <c:axId val="572476992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00" b="0"/>
                </a:pPr>
                <a:r>
                  <a:rPr lang="es-ES" sz="900" kern="0" baseline="0%"/>
                  <a:t>Reynolds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57247483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absoluteAnchor>
    <xdr:pos x="4988580" y="1135240"/>
    <xdr:ext cx="5754240" cy="323819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FD716C-93CC-8332-D3C2-F4F5707FD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5365-C2A2-DF49-9E6F-C87C836C3140}">
  <dimension ref="A1:F14"/>
  <sheetViews>
    <sheetView tabSelected="1" workbookViewId="0"/>
  </sheetViews>
  <sheetFormatPr baseColWidth="10" defaultRowHeight="13"/>
  <cols>
    <col min="1" max="4" width="17" customWidth="1"/>
    <col min="5" max="5" width="21.19921875" customWidth="1"/>
    <col min="6" max="6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10000</v>
      </c>
      <c r="B2" t="s">
        <v>6</v>
      </c>
      <c r="C2">
        <f>0.00132331</f>
        <v>1.3233100000000001E-3</v>
      </c>
      <c r="D2">
        <f>-7.429734</f>
        <v>-7.4297339999999998</v>
      </c>
      <c r="E2">
        <f>(D2-C2)</f>
        <v>-7.4310573099999999</v>
      </c>
      <c r="F2">
        <v>-7.5</v>
      </c>
    </row>
    <row r="3" spans="1:6">
      <c r="A3">
        <v>1000</v>
      </c>
      <c r="B3" t="s">
        <v>7</v>
      </c>
      <c r="C3">
        <f>0.007838564</f>
        <v>7.8385639999999993E-3</v>
      </c>
      <c r="D3">
        <f>-7.42347</f>
        <v>-7.42347</v>
      </c>
      <c r="E3">
        <f>D3-C3</f>
        <v>-7.4313085640000001</v>
      </c>
      <c r="F3">
        <v>-7.5</v>
      </c>
    </row>
    <row r="4" spans="1:6">
      <c r="A4">
        <v>100</v>
      </c>
      <c r="B4" t="s">
        <v>8</v>
      </c>
      <c r="C4">
        <f>0.07089289</f>
        <v>7.089289E-2</v>
      </c>
      <c r="D4">
        <f>-7.37077</f>
        <v>-7.3707700000000003</v>
      </c>
      <c r="E4">
        <f>D4-C4</f>
        <v>-7.4416628899999999</v>
      </c>
      <c r="F4">
        <v>-7.5</v>
      </c>
    </row>
    <row r="5" spans="1:6">
      <c r="A5">
        <v>10</v>
      </c>
      <c r="B5" t="s">
        <v>9</v>
      </c>
      <c r="C5">
        <f>0.6775542</f>
        <v>0.6775542</v>
      </c>
      <c r="D5">
        <f>-7.022938</f>
        <v>-7.0229379999999999</v>
      </c>
      <c r="E5">
        <f>D5-C5</f>
        <v>-7.7004922000000002</v>
      </c>
      <c r="F5">
        <v>-7.5</v>
      </c>
    </row>
    <row r="6" spans="1:6">
      <c r="A6">
        <v>1</v>
      </c>
      <c r="B6">
        <v>1</v>
      </c>
      <c r="C6">
        <f>6.753129</f>
        <v>6.7531290000000004</v>
      </c>
      <c r="D6">
        <f>-3.975131</f>
        <v>-3.9751310000000002</v>
      </c>
      <c r="E6">
        <f>D6-C6</f>
        <v>-10.728260000000001</v>
      </c>
      <c r="F6">
        <v>-7.5</v>
      </c>
    </row>
    <row r="7" spans="1:6">
      <c r="A7"/>
      <c r="B7"/>
      <c r="C7"/>
      <c r="D7"/>
      <c r="E7"/>
      <c r="F7"/>
    </row>
    <row r="8" spans="1:6">
      <c r="A8"/>
      <c r="B8"/>
      <c r="C8"/>
      <c r="D8"/>
      <c r="E8"/>
      <c r="F8"/>
    </row>
    <row r="9" spans="1:6">
      <c r="A9"/>
      <c r="B9"/>
      <c r="C9"/>
      <c r="D9"/>
      <c r="E9"/>
      <c r="F9"/>
    </row>
    <row r="10" spans="1:6">
      <c r="A10"/>
      <c r="B10">
        <v>10000</v>
      </c>
      <c r="C10">
        <v>-7.4310573099999999</v>
      </c>
      <c r="D10">
        <v>-7.5</v>
      </c>
      <c r="E10"/>
      <c r="F10"/>
    </row>
    <row r="11" spans="1:6">
      <c r="A11"/>
      <c r="B11">
        <v>1000</v>
      </c>
      <c r="C11">
        <v>-7.4313085640000001</v>
      </c>
      <c r="D11">
        <v>-7.5</v>
      </c>
      <c r="E11"/>
      <c r="F11"/>
    </row>
    <row r="12" spans="1:6">
      <c r="A12"/>
      <c r="B12">
        <v>100</v>
      </c>
      <c r="C12">
        <v>-7.4416628899999999</v>
      </c>
      <c r="D12">
        <v>-7.5</v>
      </c>
      <c r="E12"/>
      <c r="F12"/>
    </row>
    <row r="13" spans="1:6">
      <c r="A13"/>
      <c r="B13">
        <v>10</v>
      </c>
      <c r="C13">
        <v>-7.7004922000000002</v>
      </c>
      <c r="D13">
        <v>-7.5</v>
      </c>
      <c r="E13"/>
      <c r="F13"/>
    </row>
    <row r="14" spans="1:6">
      <c r="A14"/>
      <c r="B14">
        <v>1</v>
      </c>
      <c r="C14">
        <v>-10.728260000000001</v>
      </c>
      <c r="D14">
        <v>-7.5</v>
      </c>
      <c r="E14"/>
      <c r="F14"/>
    </row>
  </sheetData>
  <pageMargins left="0" right="0" top="0.39370078740157477" bottom="0.39370078740157477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purl.oclc.org/ooxml/officeDocument/extendedProperties" xmlns:vt="http://purl.oclc.org/ooxml/officeDocument/docPropsVTypes">
  <TotalTime>11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3</cp:revision>
  <dcterms:created xsi:type="dcterms:W3CDTF">2025-12-18T08:08:59Z</dcterms:created>
  <dcterms:modified xsi:type="dcterms:W3CDTF">2025-12-28T16:17:28Z</dcterms:modified>
</cp:coreProperties>
</file>